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ikim\Documents\DataAnalytics\week-01\"/>
    </mc:Choice>
  </mc:AlternateContent>
  <xr:revisionPtr revIDLastSave="0" documentId="8_{CC253F65-506C-47DC-9780-AB2A33DC5746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Raw Data" sheetId="1" r:id="rId1"/>
    <sheet name="Charts" sheetId="9" r:id="rId2"/>
    <sheet name="Cinnamon Roll" sheetId="7" r:id="rId3"/>
  </sheets>
  <calcPr calcId="191028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7" l="1"/>
  <c r="D5" i="7"/>
  <c r="D4" i="7"/>
  <c r="D3" i="7"/>
  <c r="D2" i="7"/>
  <c r="D2" i="1"/>
  <c r="D20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<sst xmlns="http://schemas.openxmlformats.org/spreadsheetml/2006/main" count="115" uniqueCount="55">
  <si>
    <t>Id</t>
  </si>
  <si>
    <t>Start time</t>
  </si>
  <si>
    <t>Completion time</t>
  </si>
  <si>
    <t>Email</t>
  </si>
  <si>
    <t>Name</t>
  </si>
  <si>
    <t>If you know of any Sanrio characters name one favorite.</t>
  </si>
  <si>
    <t>How often do you visit my cute cafe?</t>
  </si>
  <si>
    <t>How likley would you order a pompompurin themed hot drink?</t>
  </si>
  <si>
    <t>What about a cinnamon roll based on cinnamoroll?</t>
  </si>
  <si>
    <t>If I made a contest on best who do YOU think will win best Sanrio character?</t>
  </si>
  <si>
    <t>Overall how satisfied are you with the cafe?</t>
  </si>
  <si>
    <t>Was the quality of our food and drinks to your expectation?</t>
  </si>
  <si>
    <t>Wanting feedback what would you recommend we add or remove? (Optional)</t>
  </si>
  <si>
    <t>anonymous</t>
  </si>
  <si>
    <t>Mocha</t>
  </si>
  <si>
    <t>Everyday (Regular here!)</t>
  </si>
  <si>
    <t>Hello Kitty</t>
  </si>
  <si>
    <t>Offer seasonal menu</t>
  </si>
  <si>
    <t>hello kitty</t>
  </si>
  <si>
    <t>Never been</t>
  </si>
  <si>
    <t xml:space="preserve">a bigger location so I can sit and study, current location is small and overcrowded. </t>
  </si>
  <si>
    <t>IDK</t>
  </si>
  <si>
    <t>Rarely</t>
  </si>
  <si>
    <t>Badtz-maru</t>
  </si>
  <si>
    <t>Kuromi</t>
  </si>
  <si>
    <t>Sanrio Cake pops</t>
  </si>
  <si>
    <t>Sanrio</t>
  </si>
  <si>
    <t>N/A</t>
  </si>
  <si>
    <t>Weekly </t>
  </si>
  <si>
    <t>Point system</t>
  </si>
  <si>
    <t>no</t>
  </si>
  <si>
    <t>n/a</t>
  </si>
  <si>
    <t>-</t>
  </si>
  <si>
    <t xml:space="preserve">I don’t </t>
  </si>
  <si>
    <t>none</t>
  </si>
  <si>
    <t>vegan options</t>
  </si>
  <si>
    <t>No</t>
  </si>
  <si>
    <t xml:space="preserve">I don't know what sanrio is </t>
  </si>
  <si>
    <t>Chococat</t>
  </si>
  <si>
    <t>Cinnamoroll</t>
  </si>
  <si>
    <t>The cafe could add more themed drinks and desserts based on different Sanrio characters.</t>
  </si>
  <si>
    <t>I do not im sorry</t>
  </si>
  <si>
    <t>nope</t>
  </si>
  <si>
    <t>Keroppi</t>
  </si>
  <si>
    <t>pompompurin</t>
  </si>
  <si>
    <t xml:space="preserve">Lean less on the theme and more on delivering high quality, reasonably priced foods/drinks. Make the atmosphere cozy for remote workers </t>
  </si>
  <si>
    <t>Time to Complete</t>
  </si>
  <si>
    <t>Row Labels</t>
  </si>
  <si>
    <t>Grand Total</t>
  </si>
  <si>
    <t>AVG</t>
  </si>
  <si>
    <t>MAX</t>
  </si>
  <si>
    <t>MIN</t>
  </si>
  <si>
    <t>MEDIAN</t>
  </si>
  <si>
    <t>MODE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</si>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</sst>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164" fontId="0" fillId="0" borderId="0" xfId="0" applyNumberFormat="1"/>
    <xf numFmtId="45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</cellXfs>
  <cellStyles count="2">
    <cellStyle name="Comma" xfId="1" builtinId="3"/>
    <cellStyle name="Normal" xfId="0" builtinId="0"/>
  </cellStyles>
  <dxfs count="28"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164" formatCode="mm/dd/yyyy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[Bunny Brew Cafe.xlsx]Charts!PivotTable6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</a:t>
            </a:r>
            <a:r>
              <a:rPr lang="en-US" baseline="0"/>
              <a:t> Often Visited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Charts!$A$4:$A$8</c:f>
              <c:strCache>
                <c:ptCount val="4"/>
                <c:pt idx="0">
                  <c:v>Everyday (Regular here!)</c:v>
                </c:pt>
                <c:pt idx="1">
                  <c:v>Never been</c:v>
                </c:pt>
                <c:pt idx="2">
                  <c:v>Rarely</c:v>
                </c:pt>
                <c:pt idx="3">
                  <c:v>Weekly 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5-40B1-BA9B-755C990BC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99944127"/>
        <c:axId val="1899945567"/>
      </c:barChart>
      <c:catAx>
        <c:axId val="189994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945567"/>
        <c:crosses val="autoZero"/>
        <c:auto val="1"/>
        <c:lblAlgn val="ctr"/>
        <c:lblOffset val="100"/>
        <c:noMultiLvlLbl val="0"/>
      </c:catAx>
      <c:valAx>
        <c:axId val="189994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94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[Bunny Brew Cafe.xlsx]Charts!PivotTable7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</a:t>
            </a:r>
            <a:r>
              <a:rPr lang="en-US" baseline="0"/>
              <a:t> Character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81-47AF-82DA-C3512F3B3C7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81-47AF-82DA-C3512F3B3C7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81-47AF-82DA-C3512F3B3C7F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81-47AF-82DA-C3512F3B3C7F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81-47AF-82DA-C3512F3B3C7F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81-47AF-82DA-C3512F3B3C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Charts!$A$16:$A$22</c:f>
              <c:strCache>
                <c:ptCount val="6"/>
                <c:pt idx="0">
                  <c:v>Badtz-maru</c:v>
                </c:pt>
                <c:pt idx="1">
                  <c:v>Chococat</c:v>
                </c:pt>
                <c:pt idx="2">
                  <c:v>Cinnamoroll</c:v>
                </c:pt>
                <c:pt idx="3">
                  <c:v>Hello Kitty</c:v>
                </c:pt>
                <c:pt idx="4">
                  <c:v>Keroppi</c:v>
                </c:pt>
                <c:pt idx="5">
                  <c:v>Kuromi</c:v>
                </c:pt>
              </c:strCache>
            </c:strRef>
          </c:cat>
          <c:val>
            <c:numRef>
              <c:f>Charts!$B$16:$B$22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B-45C4-967E-9A7A948F8F8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0</xdr:row>
      <xdr:rowOff>123825</xdr:rowOff>
    </xdr:from>
    <xdr:to>
      <xdr:col>4</xdr:col>
      <xdr:colOff>82550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6135B-C57B-426B-3CEB-D1DCA319F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82550</xdr:colOff>
      <xdr:row>13</xdr:row>
      <xdr:rowOff>126999</xdr:rowOff>
    </xdr:from>
    <xdr:to>
      <xdr:col>4</xdr:col>
      <xdr:colOff>177800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A1D5E9-B3DC-AAB2-4892-1FD1D9B4C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22.38503391204" createdVersion="8" refreshedVersion="8" minRefreshableVersion="3" recordCount="20" xr:uid="{0D78BB6A-607B-4A9C-B860-29ADA9C233B7}">
  <cacheSource type="worksheet">
    <worksheetSource ref="A1:N1048576" sheet="Raw Data"/>
  </cacheSource>
  <cacheFields count="14">
    <cacheField name="Id" numFmtId="0">
      <sharedItems containsString="0" containsBlank="1" containsNumber="1" containsInteger="1" minValue="1" maxValue="18"/>
    </cacheField>
    <cacheField name="Start time" numFmtId="164">
      <sharedItems containsNonDate="0" containsDate="1" containsString="0" containsBlank="1" minDate="2026-04-08T15:21:58" maxDate="2026-04-09T16:29:08"/>
    </cacheField>
    <cacheField name="Completion time" numFmtId="0">
      <sharedItems containsNonDate="0" containsDate="1" containsString="0" containsBlank="1" minDate="2026-04-08T15:23:23" maxDate="2026-04-09T16:46:51"/>
    </cacheField>
    <cacheField name="Time to Complete" numFmtId="45">
      <sharedItems containsNonDate="0" containsDate="1" containsString="0" containsBlank="1" minDate="1899-12-30T00:00:23" maxDate="1899-12-30T00:17:43"/>
    </cacheField>
    <cacheField name="Email" numFmtId="0">
      <sharedItems containsBlank="1"/>
    </cacheField>
    <cacheField name="Name" numFmtId="0">
      <sharedItems containsNonDate="0" containsString="0" containsBlank="1"/>
    </cacheField>
    <cacheField name="If you know of any Sanrio characters name one favorite." numFmtId="0">
      <sharedItems containsBlank="1"/>
    </cacheField>
    <cacheField name="How often do you visit my cute cafe?" numFmtId="0">
      <sharedItems containsBlank="1" count="5">
        <s v="Everyday (Regular here!)"/>
        <s v="Never been"/>
        <s v="Rarely"/>
        <s v="Weekly "/>
        <m/>
      </sharedItems>
    </cacheField>
    <cacheField name="How likley would you order a pompompurin themed hot drink?" numFmtId="0">
      <sharedItems containsString="0" containsBlank="1" containsNumber="1" containsInteger="1" minValue="0" maxValue="10"/>
    </cacheField>
    <cacheField name="What about a cinnamon roll based on cinnamoroll?" numFmtId="0">
      <sharedItems containsString="0" containsBlank="1" containsNumber="1" containsInteger="1" minValue="0" maxValue="10"/>
    </cacheField>
    <cacheField name="If I made a contest on best who do YOU think will win best Sanrio character?" numFmtId="0">
      <sharedItems containsBlank="1"/>
    </cacheField>
    <cacheField name="Overall how satisfied are you with the cafe?" numFmtId="0">
      <sharedItems containsString="0" containsBlank="1" containsNumber="1" containsInteger="1" minValue="1" maxValue="5"/>
    </cacheField>
    <cacheField name="Was the quality of our food and drinks to your expectation?" numFmtId="0">
      <sharedItems containsString="0" containsBlank="1" containsNumber="1" containsInteger="1" minValue="1" maxValue="10"/>
    </cacheField>
    <cacheField name="Wanting feedback what would you recommend we add or remove?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kim" refreshedDate="46122.387718634258" createdVersion="8" refreshedVersion="8" minRefreshableVersion="3" recordCount="18" xr:uid="{879AC171-F476-49DA-8683-55257C5DB7D6}">
  <cacheSource type="worksheet">
    <worksheetSource name="OfficeForms.Table"/>
  </cacheSource>
  <cacheFields count="14">
    <cacheField name="Id" numFmtId="0">
      <sharedItems containsSemiMixedTypes="0" containsString="0" containsNumber="1" containsInteger="1" minValue="1" maxValue="18"/>
    </cacheField>
    <cacheField name="Start time" numFmtId="164">
      <sharedItems containsSemiMixedTypes="0" containsNonDate="0" containsDate="1" containsString="0" minDate="2026-04-08T15:21:58" maxDate="2026-04-09T16:29:08"/>
    </cacheField>
    <cacheField name="Completion time" numFmtId="164">
      <sharedItems containsSemiMixedTypes="0" containsNonDate="0" containsDate="1" containsString="0" minDate="2026-04-08T15:23:23" maxDate="2026-04-09T16:46:51"/>
    </cacheField>
    <cacheField name="Time to Complete" numFmtId="45">
      <sharedItems containsSemiMixedTypes="0" containsNonDate="0" containsDate="1" containsString="0" minDate="1899-12-30T00:00:23" maxDate="1899-12-30T00:17:43"/>
    </cacheField>
    <cacheField name="Email" numFmtId="0">
      <sharedItems/>
    </cacheField>
    <cacheField name="Name" numFmtId="0">
      <sharedItems containsNonDate="0" containsString="0" containsBlank="1"/>
    </cacheField>
    <cacheField name="If you know of any Sanrio characters name one favorite." numFmtId="0">
      <sharedItems/>
    </cacheField>
    <cacheField name="How often do you visit my cute cafe?" numFmtId="0">
      <sharedItems/>
    </cacheField>
    <cacheField name="How likley would you order a pompompurin themed hot drink?" numFmtId="0">
      <sharedItems containsSemiMixedTypes="0" containsString="0" containsNumber="1" containsInteger="1" minValue="0" maxValue="10"/>
    </cacheField>
    <cacheField name="What about a cinnamon roll based on cinnamoroll?" numFmtId="0">
      <sharedItems containsSemiMixedTypes="0" containsString="0" containsNumber="1" containsInteger="1" minValue="0" maxValue="10"/>
    </cacheField>
    <cacheField name="If I made a contest on best who do YOU think will win best Sanrio character?" numFmtId="0">
      <sharedItems count="6">
        <s v="Hello Kitty"/>
        <s v="Badtz-maru"/>
        <s v="Kuromi"/>
        <s v="Chococat"/>
        <s v="Cinnamoroll"/>
        <s v="Keroppi"/>
      </sharedItems>
    </cacheField>
    <cacheField name="Overall how satisfied are you with the cafe?" numFmtId="0">
      <sharedItems containsSemiMixedTypes="0" containsString="0" containsNumber="1" containsInteger="1" minValue="1" maxValue="5"/>
    </cacheField>
    <cacheField name="Was the quality of our food and drinks to your expectation?" numFmtId="0">
      <sharedItems containsSemiMixedTypes="0" containsString="0" containsNumber="1" containsInteger="1" minValue="1" maxValue="10"/>
    </cacheField>
    <cacheField name="Wanting feedback what would you recommend we add or remove? (Optional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d v="2026-04-08T15:21:58"/>
    <d v="2026-04-08T15:23:23"/>
    <d v="1899-12-30T00:01:25"/>
    <s v="anonymous"/>
    <m/>
    <s v="Mocha"/>
    <x v="0"/>
    <n v="4"/>
    <n v="5"/>
    <s v="Hello Kitty"/>
    <n v="5"/>
    <n v="9"/>
    <s v="Offer seasonal menu"/>
  </r>
  <r>
    <n v="2"/>
    <d v="2026-04-08T15:40:35"/>
    <d v="2026-04-08T15:44:53"/>
    <d v="1899-12-30T00:04:18"/>
    <s v="anonymous"/>
    <m/>
    <s v="hello kitty"/>
    <x v="1"/>
    <n v="5"/>
    <n v="10"/>
    <s v="Hello Kitty"/>
    <n v="5"/>
    <n v="7"/>
    <s v="a bigger location so I can sit and study, current location is small and overcrowded. "/>
  </r>
  <r>
    <n v="3"/>
    <d v="2026-04-09T10:38:25"/>
    <d v="2026-04-09T10:39:18"/>
    <d v="1899-12-30T00:00:53"/>
    <s v="anonymous"/>
    <m/>
    <s v="IDK"/>
    <x v="2"/>
    <n v="10"/>
    <n v="8"/>
    <s v="Badtz-maru"/>
    <n v="5"/>
    <n v="9"/>
    <m/>
  </r>
  <r>
    <n v="4"/>
    <d v="2026-04-09T11:34:17"/>
    <d v="2026-04-09T11:39:49"/>
    <d v="1899-12-30T00:05:32"/>
    <s v="anonymous"/>
    <m/>
    <s v="Kuromi"/>
    <x v="2"/>
    <n v="7"/>
    <n v="5"/>
    <s v="Kuromi"/>
    <n v="5"/>
    <n v="7"/>
    <s v="Sanrio Cake pops"/>
  </r>
  <r>
    <n v="5"/>
    <d v="2026-04-09T12:56:36"/>
    <d v="2026-04-09T12:59:27"/>
    <d v="1899-12-30T00:02:51"/>
    <s v="anonymous"/>
    <m/>
    <s v="Sanrio"/>
    <x v="0"/>
    <n v="4"/>
    <n v="8"/>
    <s v="Hello Kitty"/>
    <n v="2"/>
    <n v="2"/>
    <m/>
  </r>
  <r>
    <n v="6"/>
    <d v="2026-04-09T13:04:20"/>
    <d v="2026-04-09T13:05:46"/>
    <d v="1899-12-30T00:01:26"/>
    <s v="anonymous"/>
    <m/>
    <s v="N/A"/>
    <x v="3"/>
    <n v="4"/>
    <n v="6"/>
    <s v="Hello Kitty"/>
    <n v="4"/>
    <n v="8"/>
    <s v="Point system"/>
  </r>
  <r>
    <n v="7"/>
    <d v="2026-04-09T13:34:03"/>
    <d v="2026-04-09T13:34:51"/>
    <d v="1899-12-30T00:00:48"/>
    <s v="anonymous"/>
    <m/>
    <s v="no"/>
    <x v="1"/>
    <n v="5"/>
    <n v="0"/>
    <s v="Badtz-maru"/>
    <n v="5"/>
    <n v="10"/>
    <m/>
  </r>
  <r>
    <n v="8"/>
    <d v="2026-04-09T13:35:20"/>
    <d v="2026-04-09T13:36:36"/>
    <d v="1899-12-30T00:01:16"/>
    <s v="anonymous"/>
    <m/>
    <s v="N/A"/>
    <x v="1"/>
    <n v="4"/>
    <n v="8"/>
    <s v="Hello Kitty"/>
    <n v="5"/>
    <n v="10"/>
    <m/>
  </r>
  <r>
    <n v="9"/>
    <d v="2026-04-09T13:36:17"/>
    <d v="2026-04-09T13:36:40"/>
    <d v="1899-12-30T00:00:23"/>
    <s v="anonymous"/>
    <m/>
    <s v="-"/>
    <x v="3"/>
    <n v="10"/>
    <n v="5"/>
    <s v="Hello Kitty"/>
    <n v="5"/>
    <n v="9"/>
    <m/>
  </r>
  <r>
    <n v="10"/>
    <d v="2026-04-09T13:41:01"/>
    <d v="2026-04-09T13:41:35"/>
    <d v="1899-12-30T00:00:34"/>
    <s v="anonymous"/>
    <m/>
    <s v="I don’t "/>
    <x v="2"/>
    <n v="10"/>
    <n v="10"/>
    <s v="Hello Kitty"/>
    <n v="5"/>
    <n v="10"/>
    <m/>
  </r>
  <r>
    <n v="11"/>
    <d v="2026-04-09T13:47:52"/>
    <d v="2026-04-09T13:49:15"/>
    <d v="1899-12-30T00:01:23"/>
    <s v="anonymous"/>
    <m/>
    <s v="none"/>
    <x v="2"/>
    <n v="9"/>
    <n v="10"/>
    <s v="Hello Kitty"/>
    <n v="5"/>
    <n v="10"/>
    <s v="vegan options"/>
  </r>
  <r>
    <n v="12"/>
    <d v="2026-04-09T13:52:03"/>
    <d v="2026-04-09T13:53:24"/>
    <d v="1899-12-30T00:01:21"/>
    <s v="anonymous"/>
    <m/>
    <s v="no"/>
    <x v="0"/>
    <n v="5"/>
    <n v="5"/>
    <s v="Kuromi"/>
    <n v="5"/>
    <n v="10"/>
    <m/>
  </r>
  <r>
    <n v="13"/>
    <d v="2026-04-09T13:53:47"/>
    <d v="2026-04-09T13:54:30"/>
    <d v="1899-12-30T00:00:43"/>
    <s v="anonymous"/>
    <m/>
    <s v="I don't know what sanrio is "/>
    <x v="1"/>
    <n v="10"/>
    <n v="10"/>
    <s v="Chococat"/>
    <n v="5"/>
    <n v="9"/>
    <m/>
  </r>
  <r>
    <n v="14"/>
    <d v="2026-04-09T13:55:34"/>
    <d v="2026-04-09T13:57:00"/>
    <d v="1899-12-30T00:01:26"/>
    <s v="anonymous"/>
    <m/>
    <s v="Cinnamoroll"/>
    <x v="1"/>
    <n v="10"/>
    <n v="10"/>
    <s v="Cinnamoroll"/>
    <n v="5"/>
    <n v="10"/>
    <s v="The cafe could add more themed drinks and desserts based on different Sanrio characters."/>
  </r>
  <r>
    <n v="15"/>
    <d v="2026-04-09T14:00:18"/>
    <d v="2026-04-09T14:01:18"/>
    <d v="1899-12-30T00:01:00"/>
    <s v="anonymous"/>
    <m/>
    <s v="I do not im sorry"/>
    <x v="1"/>
    <n v="6"/>
    <n v="10"/>
    <s v="Hello Kitty"/>
    <n v="5"/>
    <n v="10"/>
    <m/>
  </r>
  <r>
    <n v="16"/>
    <d v="2026-04-09T14:12:42"/>
    <d v="2026-04-09T14:16:50"/>
    <d v="1899-12-30T00:04:08"/>
    <s v="anonymous"/>
    <m/>
    <s v="nope"/>
    <x v="2"/>
    <n v="8"/>
    <n v="8"/>
    <s v="Keroppi"/>
    <n v="4"/>
    <n v="7"/>
    <m/>
  </r>
  <r>
    <n v="17"/>
    <d v="2026-04-09T16:18:19"/>
    <d v="2026-04-09T16:20:15"/>
    <d v="1899-12-30T00:01:56"/>
    <s v="anonymous"/>
    <m/>
    <s v="pompompurin"/>
    <x v="2"/>
    <n v="10"/>
    <n v="4"/>
    <s v="Hello Kitty"/>
    <n v="3"/>
    <n v="7"/>
    <s v="Lean less on the theme and more on delivering high quality, reasonably priced foods/drinks. Make the atmosphere cozy for remote workers "/>
  </r>
  <r>
    <n v="18"/>
    <d v="2026-04-09T16:29:08"/>
    <d v="2026-04-09T16:46:51"/>
    <d v="1899-12-30T00:17:43"/>
    <s v="anonymous"/>
    <m/>
    <s v="N/A"/>
    <x v="1"/>
    <n v="0"/>
    <n v="7"/>
    <s v="Hello Kitty"/>
    <n v="1"/>
    <n v="1"/>
    <m/>
  </r>
  <r>
    <m/>
    <m/>
    <m/>
    <d v="1899-12-30T00:02:44"/>
    <m/>
    <m/>
    <m/>
    <x v="4"/>
    <m/>
    <m/>
    <m/>
    <m/>
    <m/>
    <m/>
  </r>
  <r>
    <m/>
    <m/>
    <m/>
    <m/>
    <m/>
    <m/>
    <m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"/>
    <d v="2026-04-08T15:21:58"/>
    <d v="2026-04-08T15:23:23"/>
    <d v="1899-12-30T00:01:25"/>
    <s v="anonymous"/>
    <m/>
    <s v="Mocha"/>
    <s v="Everyday (Regular here!)"/>
    <n v="4"/>
    <n v="5"/>
    <x v="0"/>
    <n v="5"/>
    <n v="9"/>
    <s v="Offer seasonal menu"/>
  </r>
  <r>
    <n v="2"/>
    <d v="2026-04-08T15:40:35"/>
    <d v="2026-04-08T15:44:53"/>
    <d v="1899-12-30T00:04:18"/>
    <s v="anonymous"/>
    <m/>
    <s v="hello kitty"/>
    <s v="Never been"/>
    <n v="5"/>
    <n v="10"/>
    <x v="0"/>
    <n v="5"/>
    <n v="7"/>
    <s v="a bigger location so I can sit and study, current location is small and overcrowded. "/>
  </r>
  <r>
    <n v="3"/>
    <d v="2026-04-09T10:38:25"/>
    <d v="2026-04-09T10:39:18"/>
    <d v="1899-12-30T00:00:53"/>
    <s v="anonymous"/>
    <m/>
    <s v="IDK"/>
    <s v="Rarely"/>
    <n v="10"/>
    <n v="8"/>
    <x v="1"/>
    <n v="5"/>
    <n v="9"/>
    <m/>
  </r>
  <r>
    <n v="4"/>
    <d v="2026-04-09T11:34:17"/>
    <d v="2026-04-09T11:39:49"/>
    <d v="1899-12-30T00:05:32"/>
    <s v="anonymous"/>
    <m/>
    <s v="Kuromi"/>
    <s v="Rarely"/>
    <n v="7"/>
    <n v="5"/>
    <x v="2"/>
    <n v="5"/>
    <n v="7"/>
    <s v="Sanrio Cake pops"/>
  </r>
  <r>
    <n v="5"/>
    <d v="2026-04-09T12:56:36"/>
    <d v="2026-04-09T12:59:27"/>
    <d v="1899-12-30T00:02:51"/>
    <s v="anonymous"/>
    <m/>
    <s v="Sanrio"/>
    <s v="Everyday (Regular here!)"/>
    <n v="4"/>
    <n v="8"/>
    <x v="0"/>
    <n v="2"/>
    <n v="2"/>
    <m/>
  </r>
  <r>
    <n v="6"/>
    <d v="2026-04-09T13:04:20"/>
    <d v="2026-04-09T13:05:46"/>
    <d v="1899-12-30T00:01:26"/>
    <s v="anonymous"/>
    <m/>
    <s v="N/A"/>
    <s v="Weekly "/>
    <n v="4"/>
    <n v="6"/>
    <x v="0"/>
    <n v="4"/>
    <n v="8"/>
    <s v="Point system"/>
  </r>
  <r>
    <n v="7"/>
    <d v="2026-04-09T13:34:03"/>
    <d v="2026-04-09T13:34:51"/>
    <d v="1899-12-30T00:00:48"/>
    <s v="anonymous"/>
    <m/>
    <s v="no"/>
    <s v="Never been"/>
    <n v="5"/>
    <n v="0"/>
    <x v="1"/>
    <n v="5"/>
    <n v="10"/>
    <m/>
  </r>
  <r>
    <n v="8"/>
    <d v="2026-04-09T13:35:20"/>
    <d v="2026-04-09T13:36:36"/>
    <d v="1899-12-30T00:01:16"/>
    <s v="anonymous"/>
    <m/>
    <s v="N/A"/>
    <s v="Never been"/>
    <n v="4"/>
    <n v="8"/>
    <x v="0"/>
    <n v="5"/>
    <n v="10"/>
    <m/>
  </r>
  <r>
    <n v="9"/>
    <d v="2026-04-09T13:36:17"/>
    <d v="2026-04-09T13:36:40"/>
    <d v="1899-12-30T00:00:23"/>
    <s v="anonymous"/>
    <m/>
    <s v="-"/>
    <s v="Weekly "/>
    <n v="10"/>
    <n v="5"/>
    <x v="0"/>
    <n v="5"/>
    <n v="9"/>
    <m/>
  </r>
  <r>
    <n v="10"/>
    <d v="2026-04-09T13:41:01"/>
    <d v="2026-04-09T13:41:35"/>
    <d v="1899-12-30T00:00:34"/>
    <s v="anonymous"/>
    <m/>
    <s v="I don’t "/>
    <s v="Rarely"/>
    <n v="10"/>
    <n v="10"/>
    <x v="0"/>
    <n v="5"/>
    <n v="10"/>
    <m/>
  </r>
  <r>
    <n v="11"/>
    <d v="2026-04-09T13:47:52"/>
    <d v="2026-04-09T13:49:15"/>
    <d v="1899-12-30T00:01:23"/>
    <s v="anonymous"/>
    <m/>
    <s v="none"/>
    <s v="Rarely"/>
    <n v="9"/>
    <n v="10"/>
    <x v="0"/>
    <n v="5"/>
    <n v="10"/>
    <s v="vegan options"/>
  </r>
  <r>
    <n v="12"/>
    <d v="2026-04-09T13:52:03"/>
    <d v="2026-04-09T13:53:24"/>
    <d v="1899-12-30T00:01:21"/>
    <s v="anonymous"/>
    <m/>
    <s v="no"/>
    <s v="Everyday (Regular here!)"/>
    <n v="5"/>
    <n v="5"/>
    <x v="2"/>
    <n v="5"/>
    <n v="10"/>
    <m/>
  </r>
  <r>
    <n v="13"/>
    <d v="2026-04-09T13:53:47"/>
    <d v="2026-04-09T13:54:30"/>
    <d v="1899-12-30T00:00:43"/>
    <s v="anonymous"/>
    <m/>
    <s v="I don't know what sanrio is "/>
    <s v="Never been"/>
    <n v="10"/>
    <n v="10"/>
    <x v="3"/>
    <n v="5"/>
    <n v="9"/>
    <m/>
  </r>
  <r>
    <n v="14"/>
    <d v="2026-04-09T13:55:34"/>
    <d v="2026-04-09T13:57:00"/>
    <d v="1899-12-30T00:01:26"/>
    <s v="anonymous"/>
    <m/>
    <s v="Cinnamoroll"/>
    <s v="Never been"/>
    <n v="10"/>
    <n v="10"/>
    <x v="4"/>
    <n v="5"/>
    <n v="10"/>
    <s v="The cafe could add more themed drinks and desserts based on different Sanrio characters."/>
  </r>
  <r>
    <n v="15"/>
    <d v="2026-04-09T14:00:18"/>
    <d v="2026-04-09T14:01:18"/>
    <d v="1899-12-30T00:01:00"/>
    <s v="anonymous"/>
    <m/>
    <s v="I do not im sorry"/>
    <s v="Never been"/>
    <n v="6"/>
    <n v="10"/>
    <x v="0"/>
    <n v="5"/>
    <n v="10"/>
    <m/>
  </r>
  <r>
    <n v="16"/>
    <d v="2026-04-09T14:12:42"/>
    <d v="2026-04-09T14:16:50"/>
    <d v="1899-12-30T00:04:08"/>
    <s v="anonymous"/>
    <m/>
    <s v="nope"/>
    <s v="Rarely"/>
    <n v="8"/>
    <n v="8"/>
    <x v="5"/>
    <n v="4"/>
    <n v="7"/>
    <m/>
  </r>
  <r>
    <n v="17"/>
    <d v="2026-04-09T16:18:19"/>
    <d v="2026-04-09T16:20:15"/>
    <d v="1899-12-30T00:01:56"/>
    <s v="anonymous"/>
    <m/>
    <s v="pompompurin"/>
    <s v="Rarely"/>
    <n v="10"/>
    <n v="4"/>
    <x v="0"/>
    <n v="3"/>
    <n v="7"/>
    <s v="Lean less on the theme and more on delivering high quality, reasonably priced foods/drinks. Make the atmosphere cozy for remote workers "/>
  </r>
  <r>
    <n v="18"/>
    <d v="2026-04-09T16:29:08"/>
    <d v="2026-04-09T16:46:51"/>
    <d v="1899-12-30T00:17:43"/>
    <s v="anonymous"/>
    <m/>
    <s v="N/A"/>
    <s v="Never been"/>
    <n v="0"/>
    <n v="7"/>
    <x v="0"/>
    <n v="1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68393-7C59-4348-9C2A-29EA37395437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15:B22" firstHeaderRow="1" firstDataRow="1" firstDataCol="1"/>
  <pivotFields count="14">
    <pivotField dataField="1" showAll="0"/>
    <pivotField numFmtId="164" showAll="0"/>
    <pivotField numFmtId="164" showAll="0"/>
    <pivotField numFmtId="45"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3"/>
        <item x="4"/>
        <item x="0"/>
        <item x="5"/>
        <item x="2"/>
        <item t="default"/>
      </items>
    </pivotField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42405-904A-46E0-B543-C414C2FD1CD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7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20" totalsRowCount="1">
  <autoFilter ref="A1:N19" xr:uid="{00000000-0009-0000-0100-000001000000}"/>
  <tableColumns count="14">
    <tableColumn id="1" xr3:uid="{00000000-0010-0000-0000-000001000000}" name="Id" dataDxfId="27" totalsRowDxfId="2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25" totalsRowDxfId="24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23" totalsRowDxfId="22">
      <extLst>
        <ext xmlns:xlmsforms="http://schemas.microsoft.com/office/spreadsheetml/2023/msForms" uri="{FCC71383-01E1-4257-9335-427F07BE8D7F}">
          <xlmsforms:question id="submitDate"/>
        </ext>
      </extLst>
    </tableColumn>
    <tableColumn id="14" xr3:uid="{A99B1105-1BC0-466A-B58E-2752E9790FA3}" name="Time to Complete" totalsRowFunction="custom" dataDxfId="21" totalsRowDxfId="20">
      <calculatedColumnFormula>C2-B2</calculatedColumnFormula>
      <totalsRowFormula>AVERAGE(D2:D19)</totalsRowFormula>
    </tableColumn>
    <tableColumn id="4" xr3:uid="{00000000-0010-0000-0000-000004000000}" name="Email" dataDxfId="19" totalsRow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 totalsRow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If you know of any Sanrio characters name one favorite." dataDxfId="15" totalsRowDxfId="14">
      <extLst>
        <ext xmlns:xlmsforms="http://schemas.microsoft.com/office/spreadsheetml/2023/msForms" uri="{FCC71383-01E1-4257-9335-427F07BE8D7F}">
          <xlmsforms:question id="rbb071e7179234f22a2acaa920da5fe75"/>
        </ext>
      </extLst>
    </tableColumn>
    <tableColumn id="7" xr3:uid="{00000000-0010-0000-0000-000007000000}" name="How often do you visit my cute cafe?" dataDxfId="13" totalsRowDxfId="12">
      <extLst>
        <ext xmlns:xlmsforms="http://schemas.microsoft.com/office/spreadsheetml/2023/msForms" uri="{FCC71383-01E1-4257-9335-427F07BE8D7F}">
          <xlmsforms:question id="r47cbe270bf8340bebc18c2d59852227d"/>
        </ext>
      </extLst>
    </tableColumn>
    <tableColumn id="8" xr3:uid="{00000000-0010-0000-0000-000008000000}" name="How likley would you order a pompompurin themed hot drink?" dataDxfId="11" totalsRowDxfId="10">
      <extLst>
        <ext xmlns:xlmsforms="http://schemas.microsoft.com/office/spreadsheetml/2023/msForms" uri="{FCC71383-01E1-4257-9335-427F07BE8D7F}">
          <xlmsforms:question id="rf0c5490faadb4bf195c5085ff7ab433a"/>
        </ext>
      </extLst>
    </tableColumn>
    <tableColumn id="9" xr3:uid="{00000000-0010-0000-0000-000009000000}" name="What about a cinnamon roll based on cinnamoroll?" dataDxfId="9" totalsRowDxfId="8">
      <extLst>
        <ext xmlns:xlmsforms="http://schemas.microsoft.com/office/spreadsheetml/2023/msForms" uri="{FCC71383-01E1-4257-9335-427F07BE8D7F}">
          <xlmsforms:question id="r31aecae1be6c47cb90be57d1f09b55e8"/>
        </ext>
      </extLst>
    </tableColumn>
    <tableColumn id="10" xr3:uid="{00000000-0010-0000-0000-00000A000000}" name="If I made a contest on best who do YOU think will win best Sanrio character?" dataDxfId="7" totalsRowDxfId="6">
      <extLst>
        <ext xmlns:xlmsforms="http://schemas.microsoft.com/office/spreadsheetml/2023/msForms" uri="{FCC71383-01E1-4257-9335-427F07BE8D7F}">
          <xlmsforms:question id="r4e68c3a1823a43af984dcb311dae16a1"/>
        </ext>
      </extLst>
    </tableColumn>
    <tableColumn id="11" xr3:uid="{00000000-0010-0000-0000-00000B000000}" name="Overall how satisfied are you with the cafe?" dataDxfId="5" totalsRowDxfId="4">
      <extLst>
        <ext xmlns:xlmsforms="http://schemas.microsoft.com/office/spreadsheetml/2023/msForms" uri="{FCC71383-01E1-4257-9335-427F07BE8D7F}">
          <xlmsforms:question id="r3d4e454d9eb944ebb298a0504571a810"/>
        </ext>
      </extLst>
    </tableColumn>
    <tableColumn id="12" xr3:uid="{00000000-0010-0000-0000-00000C000000}" name="Was the quality of our food and drinks to your expectation?" dataDxfId="3" totalsRowDxfId="2">
      <extLst>
        <ext xmlns:xlmsforms="http://schemas.microsoft.com/office/spreadsheetml/2023/msForms" uri="{FCC71383-01E1-4257-9335-427F07BE8D7F}">
          <xlmsforms:question id="rb56920c395f14d0c96239fef1f677154"/>
        </ext>
      </extLst>
    </tableColumn>
    <tableColumn id="13" xr3:uid="{00000000-0010-0000-0000-00000D000000}" name="Wanting feedback what would you recommend we add or remove? (Optional)" dataDxfId="1" totalsRowDxfId="0">
      <extLst>
        <ext xmlns:xlmsforms="http://schemas.microsoft.com/office/spreadsheetml/2023/msForms" uri="{FCC71383-01E1-4257-9335-427F07BE8D7F}">
          <xlmsforms:question id="r7e1d5bbcc1ce4e5db7bae27c9cd47a15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2GoI116kVBrytto3XBnvtUMVZPM0YzQlhORzVBQ0RJQk81Q0xWT1A5TS4u" isFormConnected="1" maxResponseId="18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rbb071e7179234f22a2acaa920da5fe75</xlmsforms:syncedQuestionId>
        <xlmsforms:syncedQuestionId>r47cbe270bf8340bebc18c2d59852227d</xlmsforms:syncedQuestionId>
        <xlmsforms:syncedQuestionId>rf0c5490faadb4bf195c5085ff7ab433a</xlmsforms:syncedQuestionId>
        <xlmsforms:syncedQuestionId>r31aecae1be6c47cb90be57d1f09b55e8</xlmsforms:syncedQuestionId>
        <xlmsforms:syncedQuestionId>r4e68c3a1823a43af984dcb311dae16a1</xlmsforms:syncedQuestionId>
        <xlmsforms:syncedQuestionId>r3d4e454d9eb944ebb298a0504571a810</xlmsforms:syncedQuestionId>
        <xlmsforms:syncedQuestionId>rb56920c395f14d0c96239fef1f677154</xlmsforms:syncedQuestionId>
        <xlmsforms:syncedQuestionId>r7e1d5bbcc1ce4e5db7bae27c9cd47a15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Cutes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FCAAEC"/>
      </a:accent2>
      <a:accent3>
        <a:srgbClr val="E1C7F9"/>
      </a:accent3>
      <a:accent4>
        <a:srgbClr val="64F6DA"/>
      </a:accent4>
      <a:accent5>
        <a:srgbClr val="FA0EDE"/>
      </a:accent5>
      <a:accent6>
        <a:srgbClr val="D9EBCD"/>
      </a:accent6>
      <a:hlink>
        <a:srgbClr val="FCAAEC"/>
      </a:hlink>
      <a:folHlink>
        <a:srgbClr val="E1C7F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opLeftCell="K23" workbookViewId="0">
      <selection activeCell="J22" sqref="J22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style="3" customWidth="1"/>
    <col min="5" max="6" width="20" bestFit="1" customWidth="1"/>
    <col min="7" max="7" width="50.6328125" bestFit="1" customWidth="1"/>
    <col min="8" max="13" width="20" bestFit="1" customWidth="1"/>
    <col min="14" max="14" width="119.54296875" bestFit="1" customWidth="1"/>
  </cols>
  <sheetData>
    <row r="1" spans="1:14" x14ac:dyDescent="0.35">
      <c r="A1" t="s">
        <v>0</v>
      </c>
      <c r="B1" s="2" t="s">
        <v>1</v>
      </c>
      <c r="C1" t="s">
        <v>2</v>
      </c>
      <c r="D1" s="3" t="s">
        <v>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1</v>
      </c>
      <c r="B2" s="2">
        <v>46120.64025462963</v>
      </c>
      <c r="C2" s="2">
        <v>46120.641238425924</v>
      </c>
      <c r="D2" s="3">
        <f t="shared" ref="D2:D19" si="0">C2-B2</f>
        <v>9.8379629343980923E-4</v>
      </c>
      <c r="E2" t="s">
        <v>13</v>
      </c>
      <c r="G2" t="s">
        <v>14</v>
      </c>
      <c r="H2" t="s">
        <v>15</v>
      </c>
      <c r="I2">
        <v>4</v>
      </c>
      <c r="J2">
        <v>5</v>
      </c>
      <c r="K2" t="s">
        <v>16</v>
      </c>
      <c r="L2">
        <v>5</v>
      </c>
      <c r="M2">
        <v>9</v>
      </c>
      <c r="N2" t="s">
        <v>17</v>
      </c>
    </row>
    <row r="3" spans="1:14" x14ac:dyDescent="0.35">
      <c r="A3">
        <v>2</v>
      </c>
      <c r="B3" s="2">
        <v>46120.653182870374</v>
      </c>
      <c r="C3" s="2">
        <v>46120.656168981484</v>
      </c>
      <c r="D3" s="3">
        <f t="shared" si="0"/>
        <v>2.9861111106583849E-3</v>
      </c>
      <c r="E3" t="s">
        <v>13</v>
      </c>
      <c r="G3" t="s">
        <v>18</v>
      </c>
      <c r="H3" t="s">
        <v>19</v>
      </c>
      <c r="I3">
        <v>5</v>
      </c>
      <c r="J3">
        <v>10</v>
      </c>
      <c r="K3" t="s">
        <v>16</v>
      </c>
      <c r="L3">
        <v>5</v>
      </c>
      <c r="M3">
        <v>7</v>
      </c>
      <c r="N3" t="s">
        <v>20</v>
      </c>
    </row>
    <row r="4" spans="1:14" x14ac:dyDescent="0.35">
      <c r="A4">
        <v>3</v>
      </c>
      <c r="B4" s="2">
        <v>46121.443344907406</v>
      </c>
      <c r="C4" s="2">
        <v>46121.443958333337</v>
      </c>
      <c r="D4" s="3">
        <f t="shared" si="0"/>
        <v>6.1342593107838184E-4</v>
      </c>
      <c r="E4" t="s">
        <v>13</v>
      </c>
      <c r="G4" t="s">
        <v>21</v>
      </c>
      <c r="H4" t="s">
        <v>22</v>
      </c>
      <c r="I4">
        <v>10</v>
      </c>
      <c r="J4">
        <v>8</v>
      </c>
      <c r="K4" t="s">
        <v>23</v>
      </c>
      <c r="L4">
        <v>5</v>
      </c>
      <c r="M4">
        <v>9</v>
      </c>
    </row>
    <row r="5" spans="1:14" x14ac:dyDescent="0.35">
      <c r="A5">
        <v>4</v>
      </c>
      <c r="B5" s="2">
        <v>46121.482141203705</v>
      </c>
      <c r="C5" s="2">
        <v>46121.485983796294</v>
      </c>
      <c r="D5" s="3">
        <f t="shared" si="0"/>
        <v>3.8425925886258483E-3</v>
      </c>
      <c r="E5" t="s">
        <v>13</v>
      </c>
      <c r="G5" t="s">
        <v>24</v>
      </c>
      <c r="H5" t="s">
        <v>22</v>
      </c>
      <c r="I5">
        <v>7</v>
      </c>
      <c r="J5">
        <v>5</v>
      </c>
      <c r="K5" t="s">
        <v>24</v>
      </c>
      <c r="L5">
        <v>5</v>
      </c>
      <c r="M5">
        <v>7</v>
      </c>
      <c r="N5" t="s">
        <v>25</v>
      </c>
    </row>
    <row r="6" spans="1:14" x14ac:dyDescent="0.35">
      <c r="A6">
        <v>5</v>
      </c>
      <c r="B6" s="2">
        <v>46121.539305555554</v>
      </c>
      <c r="C6" s="2">
        <v>46121.541284722225</v>
      </c>
      <c r="D6" s="3">
        <f t="shared" si="0"/>
        <v>1.9791666709352285E-3</v>
      </c>
      <c r="E6" t="s">
        <v>13</v>
      </c>
      <c r="G6" t="s">
        <v>26</v>
      </c>
      <c r="H6" t="s">
        <v>15</v>
      </c>
      <c r="I6">
        <v>4</v>
      </c>
      <c r="J6">
        <v>8</v>
      </c>
      <c r="K6" t="s">
        <v>16</v>
      </c>
      <c r="L6">
        <v>2</v>
      </c>
      <c r="M6">
        <v>2</v>
      </c>
    </row>
    <row r="7" spans="1:14" x14ac:dyDescent="0.35">
      <c r="A7">
        <v>6</v>
      </c>
      <c r="B7" s="2">
        <v>46121.544675925928</v>
      </c>
      <c r="C7" s="2">
        <v>46121.545671296299</v>
      </c>
      <c r="D7" s="3">
        <f t="shared" si="0"/>
        <v>9.9537037021946162E-4</v>
      </c>
      <c r="E7" t="s">
        <v>13</v>
      </c>
      <c r="G7" t="s">
        <v>27</v>
      </c>
      <c r="H7" t="s">
        <v>28</v>
      </c>
      <c r="I7">
        <v>4</v>
      </c>
      <c r="J7">
        <v>6</v>
      </c>
      <c r="K7" t="s">
        <v>16</v>
      </c>
      <c r="L7">
        <v>4</v>
      </c>
      <c r="M7">
        <v>8</v>
      </c>
      <c r="N7" t="s">
        <v>29</v>
      </c>
    </row>
    <row r="8" spans="1:14" x14ac:dyDescent="0.35">
      <c r="A8">
        <v>7</v>
      </c>
      <c r="B8" s="2">
        <v>46121.565312500003</v>
      </c>
      <c r="C8" s="2">
        <v>46121.565868055557</v>
      </c>
      <c r="D8" s="3">
        <f t="shared" si="0"/>
        <v>5.5555555445607752E-4</v>
      </c>
      <c r="E8" t="s">
        <v>13</v>
      </c>
      <c r="G8" t="s">
        <v>30</v>
      </c>
      <c r="H8" t="s">
        <v>19</v>
      </c>
      <c r="I8">
        <v>5</v>
      </c>
      <c r="J8">
        <v>0</v>
      </c>
      <c r="K8" t="s">
        <v>23</v>
      </c>
      <c r="L8">
        <v>5</v>
      </c>
      <c r="M8">
        <v>10</v>
      </c>
    </row>
    <row r="9" spans="1:14" x14ac:dyDescent="0.35">
      <c r="A9">
        <v>8</v>
      </c>
      <c r="B9" s="2">
        <v>46121.566203703704</v>
      </c>
      <c r="C9" s="2">
        <v>46121.567083333335</v>
      </c>
      <c r="D9" s="3">
        <f t="shared" si="0"/>
        <v>8.7962963152676821E-4</v>
      </c>
      <c r="E9" t="s">
        <v>13</v>
      </c>
      <c r="G9" t="s">
        <v>31</v>
      </c>
      <c r="H9" t="s">
        <v>19</v>
      </c>
      <c r="I9">
        <v>4</v>
      </c>
      <c r="J9">
        <v>8</v>
      </c>
      <c r="K9" t="s">
        <v>16</v>
      </c>
      <c r="L9">
        <v>5</v>
      </c>
      <c r="M9">
        <v>10</v>
      </c>
    </row>
    <row r="10" spans="1:14" x14ac:dyDescent="0.35">
      <c r="A10">
        <v>9</v>
      </c>
      <c r="B10" s="2">
        <v>46121.566863425927</v>
      </c>
      <c r="C10" s="2">
        <v>46121.567129629628</v>
      </c>
      <c r="D10" s="3">
        <f t="shared" si="0"/>
        <v>2.6620370044838637E-4</v>
      </c>
      <c r="E10" t="s">
        <v>13</v>
      </c>
      <c r="G10" s="1" t="s">
        <v>32</v>
      </c>
      <c r="H10" t="s">
        <v>28</v>
      </c>
      <c r="I10">
        <v>10</v>
      </c>
      <c r="J10">
        <v>5</v>
      </c>
      <c r="K10" t="s">
        <v>16</v>
      </c>
      <c r="L10">
        <v>5</v>
      </c>
      <c r="M10">
        <v>9</v>
      </c>
    </row>
    <row r="11" spans="1:14" x14ac:dyDescent="0.35">
      <c r="A11">
        <v>10</v>
      </c>
      <c r="B11" s="2">
        <v>46121.570150462961</v>
      </c>
      <c r="C11" s="2">
        <v>46121.570543981485</v>
      </c>
      <c r="D11" s="3">
        <f t="shared" si="0"/>
        <v>3.9351852319668978E-4</v>
      </c>
      <c r="E11" t="s">
        <v>13</v>
      </c>
      <c r="G11" t="s">
        <v>33</v>
      </c>
      <c r="H11" t="s">
        <v>22</v>
      </c>
      <c r="I11">
        <v>10</v>
      </c>
      <c r="J11">
        <v>10</v>
      </c>
      <c r="K11" t="s">
        <v>16</v>
      </c>
      <c r="L11">
        <v>5</v>
      </c>
      <c r="M11">
        <v>10</v>
      </c>
    </row>
    <row r="12" spans="1:14" x14ac:dyDescent="0.35">
      <c r="A12">
        <v>11</v>
      </c>
      <c r="B12" s="2">
        <v>46121.574907407405</v>
      </c>
      <c r="C12" s="2">
        <v>46121.575868055559</v>
      </c>
      <c r="D12" s="3">
        <f t="shared" si="0"/>
        <v>9.6064815443241969E-4</v>
      </c>
      <c r="E12" t="s">
        <v>13</v>
      </c>
      <c r="G12" t="s">
        <v>34</v>
      </c>
      <c r="H12" t="s">
        <v>22</v>
      </c>
      <c r="I12">
        <v>9</v>
      </c>
      <c r="J12">
        <v>10</v>
      </c>
      <c r="K12" t="s">
        <v>16</v>
      </c>
      <c r="L12">
        <v>5</v>
      </c>
      <c r="M12">
        <v>10</v>
      </c>
      <c r="N12" t="s">
        <v>35</v>
      </c>
    </row>
    <row r="13" spans="1:14" x14ac:dyDescent="0.35">
      <c r="A13">
        <v>12</v>
      </c>
      <c r="B13" s="2">
        <v>46121.5778125</v>
      </c>
      <c r="C13" s="2">
        <v>46121.578750000001</v>
      </c>
      <c r="D13" s="3">
        <f t="shared" si="0"/>
        <v>9.3750000087311491E-4</v>
      </c>
      <c r="E13" t="s">
        <v>13</v>
      </c>
      <c r="G13" t="s">
        <v>36</v>
      </c>
      <c r="H13" t="s">
        <v>15</v>
      </c>
      <c r="I13">
        <v>5</v>
      </c>
      <c r="J13">
        <v>5</v>
      </c>
      <c r="K13" t="s">
        <v>24</v>
      </c>
      <c r="L13">
        <v>5</v>
      </c>
      <c r="M13">
        <v>10</v>
      </c>
    </row>
    <row r="14" spans="1:14" x14ac:dyDescent="0.35">
      <c r="A14">
        <v>13</v>
      </c>
      <c r="B14" s="2">
        <v>46121.579016203701</v>
      </c>
      <c r="C14" s="2">
        <v>46121.579513888886</v>
      </c>
      <c r="D14" s="3">
        <f t="shared" si="0"/>
        <v>4.9768518510973081E-4</v>
      </c>
      <c r="E14" t="s">
        <v>13</v>
      </c>
      <c r="G14" t="s">
        <v>37</v>
      </c>
      <c r="H14" t="s">
        <v>19</v>
      </c>
      <c r="I14">
        <v>10</v>
      </c>
      <c r="J14">
        <v>10</v>
      </c>
      <c r="K14" t="s">
        <v>38</v>
      </c>
      <c r="L14">
        <v>5</v>
      </c>
      <c r="M14">
        <v>9</v>
      </c>
    </row>
    <row r="15" spans="1:14" x14ac:dyDescent="0.35">
      <c r="A15">
        <v>14</v>
      </c>
      <c r="B15" s="2">
        <v>46121.580254629633</v>
      </c>
      <c r="C15" s="2">
        <v>46121.581250000003</v>
      </c>
      <c r="D15" s="3">
        <f t="shared" si="0"/>
        <v>9.9537037021946162E-4</v>
      </c>
      <c r="E15" t="s">
        <v>13</v>
      </c>
      <c r="G15" t="s">
        <v>39</v>
      </c>
      <c r="H15" t="s">
        <v>19</v>
      </c>
      <c r="I15">
        <v>10</v>
      </c>
      <c r="J15">
        <v>10</v>
      </c>
      <c r="K15" t="s">
        <v>39</v>
      </c>
      <c r="L15">
        <v>5</v>
      </c>
      <c r="M15">
        <v>10</v>
      </c>
      <c r="N15" t="s">
        <v>40</v>
      </c>
    </row>
    <row r="16" spans="1:14" x14ac:dyDescent="0.35">
      <c r="A16">
        <v>15</v>
      </c>
      <c r="B16" s="2">
        <v>46121.583541666667</v>
      </c>
      <c r="C16" s="2">
        <v>46121.584236111114</v>
      </c>
      <c r="D16" s="3">
        <f t="shared" si="0"/>
        <v>6.944444467080757E-4</v>
      </c>
      <c r="E16" t="s">
        <v>13</v>
      </c>
      <c r="G16" t="s">
        <v>41</v>
      </c>
      <c r="H16" t="s">
        <v>19</v>
      </c>
      <c r="I16">
        <v>6</v>
      </c>
      <c r="J16">
        <v>10</v>
      </c>
      <c r="K16" t="s">
        <v>16</v>
      </c>
      <c r="L16">
        <v>5</v>
      </c>
      <c r="M16">
        <v>10</v>
      </c>
    </row>
    <row r="17" spans="1:14" x14ac:dyDescent="0.35">
      <c r="A17">
        <v>16</v>
      </c>
      <c r="B17" s="2">
        <v>46121.592152777775</v>
      </c>
      <c r="C17" s="2">
        <v>46121.595023148147</v>
      </c>
      <c r="D17" s="3">
        <f t="shared" si="0"/>
        <v>2.8703703719656914E-3</v>
      </c>
      <c r="E17" t="s">
        <v>13</v>
      </c>
      <c r="G17" t="s">
        <v>42</v>
      </c>
      <c r="H17" t="s">
        <v>22</v>
      </c>
      <c r="I17">
        <v>8</v>
      </c>
      <c r="J17">
        <v>8</v>
      </c>
      <c r="K17" t="s">
        <v>43</v>
      </c>
      <c r="L17">
        <v>4</v>
      </c>
      <c r="M17">
        <v>7</v>
      </c>
    </row>
    <row r="18" spans="1:14" x14ac:dyDescent="0.35">
      <c r="A18">
        <v>17</v>
      </c>
      <c r="B18" s="2">
        <v>46121.679386574076</v>
      </c>
      <c r="C18" s="2">
        <v>46121.68072916667</v>
      </c>
      <c r="D18" s="3">
        <f t="shared" si="0"/>
        <v>1.3425925935734995E-3</v>
      </c>
      <c r="E18" t="s">
        <v>13</v>
      </c>
      <c r="G18" t="s">
        <v>44</v>
      </c>
      <c r="H18" t="s">
        <v>22</v>
      </c>
      <c r="I18">
        <v>10</v>
      </c>
      <c r="J18">
        <v>4</v>
      </c>
      <c r="K18" t="s">
        <v>16</v>
      </c>
      <c r="L18">
        <v>3</v>
      </c>
      <c r="M18">
        <v>7</v>
      </c>
      <c r="N18" t="s">
        <v>45</v>
      </c>
    </row>
    <row r="19" spans="1:14" x14ac:dyDescent="0.35">
      <c r="A19">
        <v>18</v>
      </c>
      <c r="B19" s="2">
        <v>46121.686898148146</v>
      </c>
      <c r="C19" s="2">
        <v>46121.699201388888</v>
      </c>
      <c r="D19" s="3">
        <f t="shared" si="0"/>
        <v>1.230324074276723E-2</v>
      </c>
      <c r="E19" t="s">
        <v>13</v>
      </c>
      <c r="G19" t="s">
        <v>27</v>
      </c>
      <c r="H19" t="s">
        <v>19</v>
      </c>
      <c r="I19">
        <v>0</v>
      </c>
      <c r="J19">
        <v>7</v>
      </c>
      <c r="K19" t="s">
        <v>16</v>
      </c>
      <c r="L19">
        <v>1</v>
      </c>
      <c r="M19">
        <v>1</v>
      </c>
    </row>
    <row r="20" spans="1:14" x14ac:dyDescent="0.35">
      <c r="C20" s="2"/>
      <c r="D20" s="3">
        <f>AVERAGE(D2:D19)</f>
        <v>1.894290124457459E-3</v>
      </c>
      <c r="E20" s="4"/>
      <c r="F20" s="4"/>
      <c r="G20" s="4"/>
      <c r="H20" s="4"/>
      <c r="K20" s="4"/>
      <c r="N20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8F6C-807D-4C8B-ACE9-CEFFCEA1DA8D}">
  <dimension ref="A3:B22"/>
  <sheetViews>
    <sheetView tabSelected="1" topLeftCell="A8" workbookViewId="0">
      <selection activeCell="F28" sqref="F28"/>
    </sheetView>
  </sheetViews>
  <sheetFormatPr defaultRowHeight="14.5" x14ac:dyDescent="0.35"/>
  <cols>
    <col min="1" max="1" width="12.36328125" bestFit="1" customWidth="1"/>
    <col min="2" max="2" width="10.1796875" bestFit="1" customWidth="1"/>
    <col min="3" max="3" width="44.26953125" bestFit="1" customWidth="1"/>
  </cols>
  <sheetData>
    <row r="3" spans="1:2" x14ac:dyDescent="0.35">
      <c r="A3" s="5" t="s">
        <v>47</v>
      </c>
      <c r="B3" t="s">
        <v>54</v>
      </c>
    </row>
    <row r="4" spans="1:2" x14ac:dyDescent="0.35">
      <c r="A4" s="6" t="s">
        <v>15</v>
      </c>
      <c r="B4">
        <v>3</v>
      </c>
    </row>
    <row r="5" spans="1:2" x14ac:dyDescent="0.35">
      <c r="A5" s="6" t="s">
        <v>19</v>
      </c>
      <c r="B5">
        <v>7</v>
      </c>
    </row>
    <row r="6" spans="1:2" x14ac:dyDescent="0.35">
      <c r="A6" s="6" t="s">
        <v>22</v>
      </c>
      <c r="B6">
        <v>6</v>
      </c>
    </row>
    <row r="7" spans="1:2" x14ac:dyDescent="0.35">
      <c r="A7" s="6" t="s">
        <v>28</v>
      </c>
      <c r="B7">
        <v>2</v>
      </c>
    </row>
    <row r="8" spans="1:2" x14ac:dyDescent="0.35">
      <c r="A8" s="6" t="s">
        <v>48</v>
      </c>
      <c r="B8">
        <v>18</v>
      </c>
    </row>
    <row r="15" spans="1:2" x14ac:dyDescent="0.35">
      <c r="A15" s="5" t="s">
        <v>47</v>
      </c>
      <c r="B15" t="s">
        <v>54</v>
      </c>
    </row>
    <row r="16" spans="1:2" x14ac:dyDescent="0.35">
      <c r="A16" s="6" t="s">
        <v>23</v>
      </c>
      <c r="B16">
        <v>2</v>
      </c>
    </row>
    <row r="17" spans="1:2" x14ac:dyDescent="0.35">
      <c r="A17" s="6" t="s">
        <v>38</v>
      </c>
      <c r="B17">
        <v>1</v>
      </c>
    </row>
    <row r="18" spans="1:2" x14ac:dyDescent="0.35">
      <c r="A18" s="6" t="s">
        <v>39</v>
      </c>
      <c r="B18">
        <v>1</v>
      </c>
    </row>
    <row r="19" spans="1:2" x14ac:dyDescent="0.35">
      <c r="A19" s="6" t="s">
        <v>16</v>
      </c>
      <c r="B19">
        <v>11</v>
      </c>
    </row>
    <row r="20" spans="1:2" x14ac:dyDescent="0.35">
      <c r="A20" s="6" t="s">
        <v>43</v>
      </c>
      <c r="B20">
        <v>1</v>
      </c>
    </row>
    <row r="21" spans="1:2" x14ac:dyDescent="0.35">
      <c r="A21" s="6" t="s">
        <v>24</v>
      </c>
      <c r="B21">
        <v>2</v>
      </c>
    </row>
    <row r="22" spans="1:2" x14ac:dyDescent="0.35">
      <c r="A22" s="6" t="s">
        <v>48</v>
      </c>
      <c r="B22">
        <v>18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7FA4-4DAE-4ADA-84D3-89645C2ED2EE}">
  <dimension ref="A1:D19"/>
  <sheetViews>
    <sheetView workbookViewId="0">
      <selection activeCell="D12" sqref="D12"/>
    </sheetView>
  </sheetViews>
  <sheetFormatPr defaultRowHeight="14.5" x14ac:dyDescent="0.35"/>
  <cols>
    <col min="1" max="1" width="54.36328125" bestFit="1" customWidth="1"/>
  </cols>
  <sheetData>
    <row r="1" spans="1:4" x14ac:dyDescent="0.35">
      <c r="A1" t="s">
        <v>7</v>
      </c>
    </row>
    <row r="2" spans="1:4" x14ac:dyDescent="0.35">
      <c r="A2">
        <v>4</v>
      </c>
      <c r="C2" t="s">
        <v>49</v>
      </c>
      <c r="D2" s="7">
        <f>AVERAGE(A2:A19)</f>
        <v>6.7222222222222223</v>
      </c>
    </row>
    <row r="3" spans="1:4" x14ac:dyDescent="0.35">
      <c r="A3">
        <v>5</v>
      </c>
      <c r="C3" t="s">
        <v>50</v>
      </c>
      <c r="D3">
        <f>MAX(A2:A19)</f>
        <v>10</v>
      </c>
    </row>
    <row r="4" spans="1:4" x14ac:dyDescent="0.35">
      <c r="A4">
        <v>10</v>
      </c>
      <c r="C4" t="s">
        <v>51</v>
      </c>
      <c r="D4">
        <f>MIN(A2:A19)</f>
        <v>0</v>
      </c>
    </row>
    <row r="5" spans="1:4" x14ac:dyDescent="0.35">
      <c r="A5">
        <v>7</v>
      </c>
      <c r="C5" t="s">
        <v>52</v>
      </c>
      <c r="D5">
        <f>MEDIAN(A2:A19)</f>
        <v>6.5</v>
      </c>
    </row>
    <row r="6" spans="1:4" x14ac:dyDescent="0.35">
      <c r="A6">
        <v>4</v>
      </c>
      <c r="C6" t="s">
        <v>53</v>
      </c>
      <c r="D6">
        <f>MODE(A2:A19)</f>
        <v>10</v>
      </c>
    </row>
    <row r="7" spans="1:4" x14ac:dyDescent="0.35">
      <c r="A7">
        <v>4</v>
      </c>
    </row>
    <row r="8" spans="1:4" x14ac:dyDescent="0.35">
      <c r="A8">
        <v>5</v>
      </c>
    </row>
    <row r="9" spans="1:4" x14ac:dyDescent="0.35">
      <c r="A9">
        <v>4</v>
      </c>
    </row>
    <row r="10" spans="1:4" x14ac:dyDescent="0.35">
      <c r="A10">
        <v>10</v>
      </c>
    </row>
    <row r="11" spans="1:4" x14ac:dyDescent="0.35">
      <c r="A11">
        <v>10</v>
      </c>
    </row>
    <row r="12" spans="1:4" x14ac:dyDescent="0.35">
      <c r="A12">
        <v>9</v>
      </c>
    </row>
    <row r="13" spans="1:4" x14ac:dyDescent="0.35">
      <c r="A13">
        <v>5</v>
      </c>
    </row>
    <row r="14" spans="1:4" x14ac:dyDescent="0.35">
      <c r="A14">
        <v>10</v>
      </c>
    </row>
    <row r="15" spans="1:4" x14ac:dyDescent="0.35">
      <c r="A15">
        <v>10</v>
      </c>
    </row>
    <row r="16" spans="1:4" x14ac:dyDescent="0.35">
      <c r="A16">
        <v>6</v>
      </c>
    </row>
    <row r="17" spans="1:1" x14ac:dyDescent="0.35">
      <c r="A17">
        <v>8</v>
      </c>
    </row>
    <row r="18" spans="1:1" x14ac:dyDescent="0.35">
      <c r="A18">
        <v>10</v>
      </c>
    </row>
    <row r="19" spans="1:1" x14ac:dyDescent="0.35">
      <c r="A1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84A957BF9F24D9F840D5314F082ED" ma:contentTypeVersion="5" ma:contentTypeDescription="Create a new document." ma:contentTypeScope="" ma:versionID="d13ad4fda6eb290d9496b90d34917786">
  <xsd:schema xmlns:xsd="http://www.w3.org/2001/XMLSchema" xmlns:xs="http://www.w3.org/2001/XMLSchema" xmlns:p="http://schemas.microsoft.com/office/2006/metadata/properties" xmlns:ns3="816bd13f-9dd9-424c-9bad-c8d5ab31255a" targetNamespace="http://schemas.microsoft.com/office/2006/metadata/properties" ma:root="true" ma:fieldsID="b07d133fc7f837e6b28818303ffc9215" ns3:_="">
    <xsd:import namespace="816bd13f-9dd9-424c-9bad-c8d5ab3125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bd13f-9dd9-424c-9bad-c8d5ab3125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6bd13f-9dd9-424c-9bad-c8d5ab31255a" xsi:nil="true"/>
  </documentManagement>
</p:properties>
</file>

<file path=customXml/itemProps1.xml><?xml version="1.0" encoding="utf-8"?>
<ds:datastoreItem xmlns:ds="http://schemas.openxmlformats.org/officeDocument/2006/customXml" ds:itemID="{C9873D0B-E0A9-4135-AAB5-4EB2779A1E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096691-6BBD-4A35-8A15-0033D812CC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6bd13f-9dd9-424c-9bad-c8d5ab312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C0A3A1-4452-4EA3-9C51-F785F4AB684C}">
  <ds:schemaRefs>
    <ds:schemaRef ds:uri="http://purl.org/dc/elements/1.1/"/>
    <ds:schemaRef ds:uri="816bd13f-9dd9-424c-9bad-c8d5ab31255a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Charts</vt:lpstr>
      <vt:lpstr>Cinnamon Roll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kiki marsh</dc:creator>
  <cp:keywords/>
  <dc:description/>
  <cp:lastModifiedBy>kiersten marsh</cp:lastModifiedBy>
  <cp:revision/>
  <dcterms:created xsi:type="dcterms:W3CDTF">2026-04-10T13:22:40Z</dcterms:created>
  <dcterms:modified xsi:type="dcterms:W3CDTF">2026-04-10T14:35:46Z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0x01010058A84A957BF9F24D9F840D5314F082ED</vt:lpwstr>
  </property>
</Properties>
</file>